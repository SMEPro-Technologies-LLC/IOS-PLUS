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hase Detail" sheetId="3" state="visible" r:id="rId3"/>
    <sheet xmlns:r="http://schemas.openxmlformats.org/officeDocument/2006/relationships" name="Annual Recurring" sheetId="4" state="visible" r:id="rId4"/>
    <sheet xmlns:r="http://schemas.openxmlformats.org/officeDocument/2006/relationships" name="Staffing Plan" sheetId="5" state="visible" r:id="rId5"/>
    <sheet xmlns:r="http://schemas.openxmlformats.org/officeDocument/2006/relationships" name="ROI &amp; Value" sheetId="6" state="visible" r:id="rId6"/>
    <sheet xmlns:r="http://schemas.openxmlformats.org/officeDocument/2006/relationships" name="Timelin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5">
    <font>
      <name val="Calibri"/>
      <family val="2"/>
      <color theme="1"/>
      <sz val="11"/>
      <scheme val="minor"/>
    </font>
    <font>
      <name val="Calibri"/>
      <b val="1"/>
      <color rgb="00122B49"/>
      <sz val="28"/>
    </font>
    <font>
      <name val="Calibri"/>
      <color rgb="005A5A6A"/>
      <sz val="14"/>
    </font>
    <font>
      <name val="Calibri"/>
      <color rgb="005A5A6A"/>
      <sz val="10"/>
    </font>
    <font>
      <name val="Calibri"/>
      <b val="1"/>
      <color rgb="00122B49"/>
      <sz val="18"/>
    </font>
    <font>
      <name val="Calibri"/>
      <i val="1"/>
      <color rgb="005A5A6A"/>
      <sz val="10"/>
    </font>
    <font>
      <name val="Calibri"/>
      <b val="1"/>
      <color rgb="00122B49"/>
      <sz val="11"/>
    </font>
    <font>
      <name val="Calibri"/>
      <color rgb="005A5A6A"/>
      <sz val="11"/>
    </font>
    <font>
      <name val="Calibri"/>
      <b val="1"/>
      <color rgb="00122B49"/>
      <sz val="22"/>
    </font>
    <font>
      <name val="Calibri"/>
      <color rgb="005A5A6A"/>
      <sz val="12"/>
    </font>
    <font>
      <name val="Calibri"/>
      <b val="1"/>
      <color rgb="00FFFFFF"/>
      <sz val="12"/>
    </font>
    <font>
      <name val="Calibri"/>
      <color rgb="001A1A2E"/>
      <sz val="11"/>
    </font>
    <font>
      <name val="Calibri"/>
      <b val="1"/>
      <color rgb="002E7D32"/>
      <sz val="11"/>
    </font>
    <font>
      <name val="Calibri"/>
      <b val="1"/>
      <color rgb="00122B49"/>
      <sz val="12"/>
    </font>
    <font>
      <name val="Calibri"/>
      <b val="1"/>
      <color rgb="002E7D32"/>
      <sz val="12"/>
    </font>
  </fonts>
  <fills count="5">
    <fill>
      <patternFill/>
    </fill>
    <fill>
      <patternFill patternType="gray125"/>
    </fill>
    <fill>
      <patternFill patternType="solid">
        <fgColor rgb="00122B49"/>
        <bgColor rgb="00122B49"/>
      </patternFill>
    </fill>
    <fill>
      <patternFill patternType="solid">
        <fgColor rgb="00D9E2F3"/>
        <bgColor rgb="00D9E2F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164" fontId="11" fillId="4" borderId="1" applyAlignment="1" pivotButton="0" quotePrefix="0" xfId="0">
      <alignment horizontal="right" vertical="center"/>
    </xf>
    <xf numFmtId="164" fontId="12" fillId="4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left" vertical="center" wrapText="1"/>
    </xf>
    <xf numFmtId="164" fontId="11" fillId="0" borderId="1" applyAlignment="1" pivotButton="0" quotePrefix="0" xfId="0">
      <alignment horizontal="right" vertical="center"/>
    </xf>
    <xf numFmtId="164" fontId="12" fillId="0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164" fontId="12" fillId="3" borderId="1" applyAlignment="1" pivotButton="0" quotePrefix="0" xfId="0">
      <alignment horizontal="right" vertical="center"/>
    </xf>
    <xf numFmtId="164" fontId="14" fillId="3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164" fontId="11" fillId="4" borderId="1" applyAlignment="1" pivotButton="0" quotePrefix="0" xfId="0">
      <alignment horizontal="left" vertical="center" wrapText="1"/>
    </xf>
    <xf numFmtId="164" fontId="1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4" customWidth="1" min="7" max="7"/>
  </cols>
  <sheetData>
    <row r="3" ht="45" customHeight="1">
      <c r="B3" s="1" t="inlineStr">
        <is>
          <t>IOS+ Implementation Budget</t>
        </is>
      </c>
    </row>
    <row r="4" ht="25" customHeight="1">
      <c r="B4" s="2" t="inlineStr">
        <is>
          <t>Lamar University — Education Compliance Platform</t>
        </is>
      </c>
    </row>
    <row r="6" ht="4" customHeight="1">
      <c r="B6" s="3" t="n"/>
    </row>
    <row r="8" ht="30" customHeight="1">
      <c r="B8" s="4" t="inlineStr">
        <is>
          <t>Total Year 1 Investment</t>
        </is>
      </c>
      <c r="D8" s="5" t="inlineStr">
        <is>
          <t>$520,000</t>
        </is>
      </c>
      <c r="F8" s="6" t="inlineStr">
        <is>
          <t>Implementation + Phase 1</t>
        </is>
      </c>
    </row>
    <row r="9" ht="30" customHeight="1">
      <c r="B9" s="4" t="inlineStr">
        <is>
          <t>5-Year TCO</t>
        </is>
      </c>
      <c r="D9" s="5" t="inlineStr">
        <is>
          <t>$760,000</t>
        </is>
      </c>
      <c r="F9" s="6" t="inlineStr">
        <is>
          <t>Including annual recurring</t>
        </is>
      </c>
    </row>
    <row r="10" ht="30" customHeight="1">
      <c r="B10" s="4" t="inlineStr">
        <is>
          <t>Est. 5-Year Value</t>
        </is>
      </c>
      <c r="D10" s="5" t="inlineStr">
        <is>
          <t>$2,500,000–$4,000,000</t>
        </is>
      </c>
      <c r="F10" s="6" t="inlineStr">
        <is>
          <t>ROI 3.3x–5.3x</t>
        </is>
      </c>
    </row>
    <row r="11" ht="30" customHeight="1">
      <c r="B11" s="4" t="inlineStr">
        <is>
          <t>Break-Even</t>
        </is>
      </c>
      <c r="D11" s="5" t="inlineStr">
        <is>
          <t>Month 8–14</t>
        </is>
      </c>
      <c r="F11" s="6" t="inlineStr">
        <is>
          <t>After Phase 1 go-live</t>
        </is>
      </c>
    </row>
    <row r="13" ht="25" customHeight="1">
      <c r="B13" s="7" t="inlineStr">
        <is>
          <t>Workbook Contents</t>
        </is>
      </c>
    </row>
    <row r="14" ht="22" customHeight="1">
      <c r="B14" s="8" t="inlineStr">
        <is>
          <t>Summary</t>
        </is>
      </c>
      <c r="C14" s="9" t="inlineStr">
        <is>
          <t>High-level implementation budget by phase and use case</t>
        </is>
      </c>
    </row>
    <row r="15" ht="22" customHeight="1">
      <c r="B15" s="8" t="inlineStr">
        <is>
          <t>Phase Detail</t>
        </is>
      </c>
      <c r="C15" s="9" t="inlineStr">
        <is>
          <t>Line-item breakdown of development, infrastructure, and integration costs</t>
        </is>
      </c>
    </row>
    <row r="16" ht="22" customHeight="1">
      <c r="B16" s="8" t="inlineStr">
        <is>
          <t>Annual Recurring</t>
        </is>
      </c>
      <c r="C16" s="9" t="inlineStr">
        <is>
          <t>Ongoing operational costs: infrastructure, support, maintenance</t>
        </is>
      </c>
    </row>
    <row r="17" ht="22" customHeight="1">
      <c r="B17" s="8" t="inlineStr">
        <is>
          <t>Staffing Plan</t>
        </is>
      </c>
      <c r="C17" s="9" t="inlineStr">
        <is>
          <t>FTE requirements and role responsibilities by phase</t>
        </is>
      </c>
    </row>
    <row r="18" ht="22" customHeight="1">
      <c r="B18" s="8" t="inlineStr">
        <is>
          <t>ROI &amp; Value</t>
        </is>
      </c>
      <c r="C18" s="9" t="inlineStr">
        <is>
          <t>Return on investment: quantified value by use case</t>
        </is>
      </c>
    </row>
    <row r="19" ht="22" customHeight="1">
      <c r="B19" s="8" t="inlineStr">
        <is>
          <t>Timeline</t>
        </is>
      </c>
      <c r="C19" s="9" t="inlineStr">
        <is>
          <t>Phased 18-month implementation roadmap with milestones</t>
        </is>
      </c>
    </row>
  </sheetData>
  <mergeCells count="18">
    <mergeCell ref="B4:F4"/>
    <mergeCell ref="D8:E8"/>
    <mergeCell ref="C18:F18"/>
    <mergeCell ref="C19:F19"/>
    <mergeCell ref="C17:F17"/>
    <mergeCell ref="B6:F6"/>
    <mergeCell ref="D10:E10"/>
    <mergeCell ref="B11:C11"/>
    <mergeCell ref="D11:E11"/>
    <mergeCell ref="B3:F3"/>
    <mergeCell ref="B10:C10"/>
    <mergeCell ref="C16:F16"/>
    <mergeCell ref="C15:F15"/>
    <mergeCell ref="C14:F14"/>
    <mergeCell ref="B9:C9"/>
    <mergeCell ref="D9:E9"/>
    <mergeCell ref="B8:C8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" customWidth="1" min="8" max="8"/>
  </cols>
  <sheetData>
    <row r="2" ht="35" customHeight="1">
      <c r="B2" s="10" t="inlineStr">
        <is>
          <t>IOS+ Implementation Budget Summary</t>
        </is>
      </c>
    </row>
    <row r="3" ht="22" customHeight="1">
      <c r="B3" s="11" t="inlineStr">
        <is>
          <t>Phased investment by use case — Lamar University</t>
        </is>
      </c>
    </row>
    <row r="5" ht="28" customHeight="1">
      <c r="B5" s="12" t="inlineStr">
        <is>
          <t>Phase</t>
        </is>
      </c>
      <c r="C5" s="12" t="inlineStr">
        <is>
          <t>Use Case</t>
        </is>
      </c>
      <c r="D5" s="12" t="inlineStr">
        <is>
          <t>Dev Cost</t>
        </is>
      </c>
      <c r="E5" s="12" t="inlineStr">
        <is>
          <t>Infra Cost</t>
        </is>
      </c>
      <c r="F5" s="12" t="inlineStr">
        <is>
          <t>Integration</t>
        </is>
      </c>
      <c r="G5" s="12" t="inlineStr">
        <is>
          <t>Total Phase</t>
        </is>
      </c>
      <c r="H5" s="12" t="inlineStr">
        <is>
          <t>Annual Value</t>
        </is>
      </c>
    </row>
    <row r="6" ht="25" customHeight="1">
      <c r="B6" s="13" t="inlineStr">
        <is>
          <t>Phase 1</t>
        </is>
      </c>
      <c r="C6" s="13" t="inlineStr">
        <is>
          <t>UC-00: AI Governance + Core Engine</t>
        </is>
      </c>
      <c r="D6" s="14" t="n">
        <v>180000</v>
      </c>
      <c r="E6" s="14" t="n">
        <v>35000</v>
      </c>
      <c r="F6" s="14" t="n">
        <v>50000</v>
      </c>
      <c r="G6" s="15" t="n">
        <v>265000</v>
      </c>
      <c r="H6" s="14" t="n">
        <v>0</v>
      </c>
    </row>
    <row r="7" ht="25" customHeight="1">
      <c r="B7" s="16" t="inlineStr">
        <is>
          <t>Phase 2</t>
        </is>
      </c>
      <c r="C7" s="16" t="inlineStr">
        <is>
          <t>UC-01: Predictive Persistence</t>
        </is>
      </c>
      <c r="D7" s="17" t="n">
        <v>70000</v>
      </c>
      <c r="E7" s="17" t="n">
        <v>10000</v>
      </c>
      <c r="F7" s="17" t="n">
        <v>0</v>
      </c>
      <c r="G7" s="18" t="n">
        <v>80000</v>
      </c>
      <c r="H7" s="17" t="n">
        <v>150000</v>
      </c>
    </row>
    <row r="8" ht="25" customHeight="1">
      <c r="B8" s="13" t="inlineStr">
        <is>
          <t>Phase 3</t>
        </is>
      </c>
      <c r="C8" s="13" t="inlineStr">
        <is>
          <t>UC-02: Transcript Evaluation</t>
        </is>
      </c>
      <c r="D8" s="14" t="n">
        <v>55000</v>
      </c>
      <c r="E8" s="14" t="n">
        <v>5000</v>
      </c>
      <c r="F8" s="14" t="n">
        <v>0</v>
      </c>
      <c r="G8" s="15" t="n">
        <v>60000</v>
      </c>
      <c r="H8" s="14" t="n">
        <v>50000</v>
      </c>
    </row>
    <row r="9" ht="25" customHeight="1">
      <c r="B9" s="16" t="inlineStr">
        <is>
          <t>Phase 4</t>
        </is>
      </c>
      <c r="C9" s="16" t="inlineStr">
        <is>
          <t>UC-03/04: Accreditation + Alignment</t>
        </is>
      </c>
      <c r="D9" s="17" t="n">
        <v>45000</v>
      </c>
      <c r="E9" s="17" t="n">
        <v>5000</v>
      </c>
      <c r="F9" s="17" t="n">
        <v>0</v>
      </c>
      <c r="G9" s="18" t="n">
        <v>50000</v>
      </c>
      <c r="H9" s="17" t="n">
        <v>100000</v>
      </c>
    </row>
    <row r="10" ht="25" customHeight="1">
      <c r="B10" s="13" t="inlineStr">
        <is>
          <t>Phase 5</t>
        </is>
      </c>
      <c r="C10" s="13" t="inlineStr">
        <is>
          <t>UC-05/06: Grading Load + Allied Health</t>
        </is>
      </c>
      <c r="D10" s="14" t="n">
        <v>35000</v>
      </c>
      <c r="E10" s="14" t="n">
        <v>5000</v>
      </c>
      <c r="F10" s="14" t="n">
        <v>0</v>
      </c>
      <c r="G10" s="15" t="n">
        <v>40000</v>
      </c>
      <c r="H10" s="14" t="n">
        <v>200000</v>
      </c>
    </row>
    <row r="11" ht="28" customHeight="1">
      <c r="B11" s="19" t="inlineStr">
        <is>
          <t>TOTALS</t>
        </is>
      </c>
      <c r="C11" s="20" t="inlineStr"/>
      <c r="D11" s="21">
        <f>SUM(D6:D10)</f>
        <v/>
      </c>
      <c r="E11" s="21">
        <f>SUM(E6:E10)</f>
        <v/>
      </c>
      <c r="F11" s="21">
        <f>SUM(F6:F10)</f>
        <v/>
      </c>
      <c r="G11" s="22">
        <f>SUM(G6:G10)</f>
        <v/>
      </c>
      <c r="H11" s="21">
        <f>SUM(H6:H10)</f>
        <v/>
      </c>
    </row>
    <row r="13" ht="35" customHeight="1">
      <c r="B13" s="6" t="inlineStr">
        <is>
          <t>Note: Annual Value estimates are conservative. UC-01 attrition reduction alone (5–10% first-year retention) generates $150K–$300K/year in retained tuition revenue.</t>
        </is>
      </c>
    </row>
  </sheetData>
  <mergeCells count="3">
    <mergeCell ref="B3:G3"/>
    <mergeCell ref="B2:G2"/>
    <mergeCell ref="B13:G13"/>
  </mergeCells>
  <conditionalFormatting sqref="H6:H10">
    <cfRule type="dataBar" priority="1">
      <dataBar showValue="1">
        <cfvo type="min"/>
        <cfvo type="max"/>
        <color rgb="002E7D32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4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2" customWidth="1" min="3" max="3"/>
    <col width="18" customWidth="1" min="4" max="4"/>
    <col width="18" customWidth="1" min="5" max="5"/>
    <col width="18" customWidth="1" min="6" max="6"/>
    <col width="18" customWidth="1" min="7" max="7"/>
    <col width="4" customWidth="1" min="8" max="8"/>
  </cols>
  <sheetData>
    <row r="2" ht="35" customHeight="1">
      <c r="B2" s="10" t="inlineStr">
        <is>
          <t>Line-Item Budget Detail</t>
        </is>
      </c>
    </row>
    <row r="3">
      <c r="B3" s="11" t="inlineStr">
        <is>
          <t>Development, infrastructure, and integration costs by category</t>
        </is>
      </c>
    </row>
    <row r="5" ht="25" customHeight="1">
      <c r="B5" s="7" t="inlineStr">
        <is>
          <t>Phase 1 — Core Engine + AI Governance (Months 1–6)</t>
        </is>
      </c>
    </row>
    <row r="6" ht="25" customHeight="1">
      <c r="B6" s="12" t="inlineStr">
        <is>
          <t>Category</t>
        </is>
      </c>
      <c r="C6" s="12" t="inlineStr">
        <is>
          <t>Line Item</t>
        </is>
      </c>
      <c r="D6" s="12" t="inlineStr">
        <is>
          <t>Qty</t>
        </is>
      </c>
      <c r="E6" s="12" t="inlineStr">
        <is>
          <t>Rate</t>
        </is>
      </c>
      <c r="F6" s="12" t="inlineStr">
        <is>
          <t>Subtotal</t>
        </is>
      </c>
      <c r="G6" s="12" t="inlineStr">
        <is>
          <t>Vendor/Notes</t>
        </is>
      </c>
    </row>
    <row r="7" ht="22" customHeight="1">
      <c r="B7" s="16" t="inlineStr">
        <is>
          <t>Development</t>
        </is>
      </c>
      <c r="C7" s="16" t="inlineStr">
        <is>
          <t>Node.js middleware engine (Gate 530 + orchestration)</t>
        </is>
      </c>
      <c r="D7" s="23" t="n">
        <v>1</v>
      </c>
      <c r="E7" s="17" t="n">
        <v>120000</v>
      </c>
      <c r="F7" s="17" t="n">
        <v>120000</v>
      </c>
      <c r="G7" s="24" t="inlineStr">
        <is>
          <t>Contractor + internal team</t>
        </is>
      </c>
    </row>
    <row r="8" ht="22" customHeight="1">
      <c r="B8" s="13" t="inlineStr">
        <is>
          <t>Development</t>
        </is>
      </c>
      <c r="C8" s="13" t="inlineStr">
        <is>
          <t>COS+ PostgreSQL database layer (WORM + audit)</t>
        </is>
      </c>
      <c r="D8" s="25" t="n">
        <v>1</v>
      </c>
      <c r="E8" s="14" t="n">
        <v>40000</v>
      </c>
      <c r="F8" s="14" t="n">
        <v>40000</v>
      </c>
      <c r="G8" s="26" t="inlineStr">
        <is>
          <t>Contractor + DBA</t>
        </is>
      </c>
    </row>
    <row r="9" ht="22" customHeight="1">
      <c r="B9" s="16" t="inlineStr">
        <is>
          <t>Development</t>
        </is>
      </c>
      <c r="C9" s="16" t="inlineStr">
        <is>
          <t>Evidence fabric (Ed25519 signing + JCS)</t>
        </is>
      </c>
      <c r="D9" s="23" t="n">
        <v>1</v>
      </c>
      <c r="E9" s="17" t="n">
        <v>20000</v>
      </c>
      <c r="F9" s="17" t="n">
        <v>20000</v>
      </c>
      <c r="G9" s="24" t="inlineStr">
        <is>
          <t>Contractor</t>
        </is>
      </c>
    </row>
    <row r="10" ht="22" customHeight="1">
      <c r="B10" s="13" t="inlineStr">
        <is>
          <t>Infrastructure</t>
        </is>
      </c>
      <c r="C10" s="13" t="inlineStr">
        <is>
          <t>PostgreSQL server (on-premise)</t>
        </is>
      </c>
      <c r="D10" s="25" t="n">
        <v>1</v>
      </c>
      <c r="E10" s="14" t="n">
        <v>25000</v>
      </c>
      <c r="F10" s="14" t="n">
        <v>25000</v>
      </c>
      <c r="G10" s="26" t="inlineStr">
        <is>
          <t>Dell/HP server hardware</t>
        </is>
      </c>
    </row>
    <row r="11" ht="22" customHeight="1">
      <c r="B11" s="16" t="inlineStr">
        <is>
          <t>Infrastructure</t>
        </is>
      </c>
      <c r="C11" s="16" t="inlineStr">
        <is>
          <t>pgvector extension + setup</t>
        </is>
      </c>
      <c r="D11" s="23" t="n">
        <v>1</v>
      </c>
      <c r="E11" s="17" t="n">
        <v>5000</v>
      </c>
      <c r="F11" s="17" t="n">
        <v>5000</v>
      </c>
      <c r="G11" s="24" t="inlineStr">
        <is>
          <t>Open source, labor only</t>
        </is>
      </c>
    </row>
    <row r="12" ht="22" customHeight="1">
      <c r="B12" s="13" t="inlineStr">
        <is>
          <t>Infrastructure</t>
        </is>
      </c>
      <c r="C12" s="13" t="inlineStr">
        <is>
          <t>Network security (firewall, VPN)</t>
        </is>
      </c>
      <c r="D12" s="25" t="n">
        <v>1</v>
      </c>
      <c r="E12" s="14" t="n">
        <v>5000</v>
      </c>
      <c r="F12" s="14" t="n">
        <v>5000</v>
      </c>
      <c r="G12" s="26" t="inlineStr">
        <is>
          <t>Existing IT</t>
        </is>
      </c>
    </row>
    <row r="13" ht="22" customHeight="1">
      <c r="B13" s="16" t="inlineStr">
        <is>
          <t>Integration</t>
        </is>
      </c>
      <c r="C13" s="16" t="inlineStr">
        <is>
          <t>Banner/Ellucian Ethos API connector</t>
        </is>
      </c>
      <c r="D13" s="23" t="n">
        <v>1</v>
      </c>
      <c r="E13" s="17" t="n">
        <v>35000</v>
      </c>
      <c r="F13" s="17" t="n">
        <v>35000</v>
      </c>
      <c r="G13" s="24" t="inlineStr">
        <is>
          <t>Ellucian partner</t>
        </is>
      </c>
    </row>
    <row r="14" ht="22" customHeight="1">
      <c r="B14" s="13" t="inlineStr">
        <is>
          <t>Integration</t>
        </is>
      </c>
      <c r="C14" s="13" t="inlineStr">
        <is>
          <t>Blackboard REST API connector</t>
        </is>
      </c>
      <c r="D14" s="25" t="n">
        <v>1</v>
      </c>
      <c r="E14" s="14" t="n">
        <v>25000</v>
      </c>
      <c r="F14" s="14" t="n">
        <v>25000</v>
      </c>
      <c r="G14" s="26" t="inlineStr">
        <is>
          <t>Blackboard partner</t>
        </is>
      </c>
    </row>
    <row r="15" ht="22" customHeight="1">
      <c r="B15" s="16" t="inlineStr">
        <is>
          <t>Integration</t>
        </is>
      </c>
      <c r="C15" s="16" t="inlineStr">
        <is>
          <t>Concourse API connector</t>
        </is>
      </c>
      <c r="D15" s="23" t="n">
        <v>1</v>
      </c>
      <c r="E15" s="17" t="n">
        <v>15000</v>
      </c>
      <c r="F15" s="17" t="n">
        <v>15000</v>
      </c>
      <c r="G15" s="24" t="inlineStr">
        <is>
          <t>Concourse partner</t>
        </is>
      </c>
    </row>
    <row r="16" ht="22" customHeight="1">
      <c r="B16" s="13" t="inlineStr">
        <is>
          <t>Integration</t>
        </is>
      </c>
      <c r="C16" s="13" t="inlineStr">
        <is>
          <t>SSO / identity federation (SAML)</t>
        </is>
      </c>
      <c r="D16" s="25" t="n">
        <v>1</v>
      </c>
      <c r="E16" s="14" t="n">
        <v>10000</v>
      </c>
      <c r="F16" s="14" t="n">
        <v>10000</v>
      </c>
      <c r="G16" s="26" t="inlineStr">
        <is>
          <t>Existing IT + contractor</t>
        </is>
      </c>
    </row>
    <row r="17" ht="25" customHeight="1">
      <c r="B17" s="27" t="inlineStr">
        <is>
          <t>Phase 1 Total</t>
        </is>
      </c>
      <c r="C17" s="28" t="n"/>
      <c r="D17" s="29" t="n"/>
      <c r="E17" s="29" t="n"/>
      <c r="F17" s="21">
        <f>SUM(F7:F16)</f>
        <v/>
      </c>
      <c r="G17" s="28" t="n"/>
    </row>
    <row r="19" ht="25" customHeight="1">
      <c r="B19" s="7" t="inlineStr">
        <is>
          <t>Phase 2 — Predictive Persistence (Months 7–9)</t>
        </is>
      </c>
    </row>
    <row r="20" ht="25" customHeight="1">
      <c r="B20" s="12" t="inlineStr">
        <is>
          <t>Category</t>
        </is>
      </c>
      <c r="C20" s="12" t="inlineStr">
        <is>
          <t>Line Item</t>
        </is>
      </c>
      <c r="D20" s="12" t="inlineStr">
        <is>
          <t>Qty</t>
        </is>
      </c>
      <c r="E20" s="12" t="inlineStr">
        <is>
          <t>Rate</t>
        </is>
      </c>
      <c r="F20" s="12" t="inlineStr">
        <is>
          <t>Subtotal</t>
        </is>
      </c>
      <c r="G20" s="12" t="inlineStr">
        <is>
          <t>Vendor/Notes</t>
        </is>
      </c>
    </row>
    <row r="21" ht="22" customHeight="1">
      <c r="B21" s="16" t="inlineStr">
        <is>
          <t>Development</t>
        </is>
      </c>
      <c r="C21" s="16" t="inlineStr">
        <is>
          <t>Risk scoring engine (Banner + Blackboard signals)</t>
        </is>
      </c>
      <c r="D21" s="23" t="n">
        <v>1</v>
      </c>
      <c r="E21" s="17" t="n">
        <v>45000</v>
      </c>
      <c r="F21" s="17" t="n">
        <v>45000</v>
      </c>
      <c r="G21" s="24" t="inlineStr">
        <is>
          <t>Contractor</t>
        </is>
      </c>
    </row>
    <row r="22" ht="22" customHeight="1">
      <c r="B22" s="13" t="inlineStr">
        <is>
          <t>Development</t>
        </is>
      </c>
      <c r="C22" s="13" t="inlineStr">
        <is>
          <t>Advisor intervention queue dashboard</t>
        </is>
      </c>
      <c r="D22" s="25" t="n">
        <v>1</v>
      </c>
      <c r="E22" s="14" t="n">
        <v>25000</v>
      </c>
      <c r="F22" s="14" t="n">
        <v>25000</v>
      </c>
      <c r="G22" s="26" t="inlineStr">
        <is>
          <t>Contractor</t>
        </is>
      </c>
    </row>
    <row r="23" ht="22" customHeight="1">
      <c r="B23" s="16" t="inlineStr">
        <is>
          <t>Infrastructure</t>
        </is>
      </c>
      <c r="C23" s="16" t="inlineStr">
        <is>
          <t>Additional compute for batch processing</t>
        </is>
      </c>
      <c r="D23" s="23" t="n">
        <v>1</v>
      </c>
      <c r="E23" s="17" t="n">
        <v>10000</v>
      </c>
      <c r="F23" s="17" t="n">
        <v>10000</v>
      </c>
      <c r="G23" s="24" t="inlineStr">
        <is>
          <t>Server upgrade</t>
        </is>
      </c>
    </row>
    <row r="26" ht="25" customHeight="1">
      <c r="B26" s="7" t="inlineStr">
        <is>
          <t>Phase 3 — Transcript Evaluation (Months 10–12)</t>
        </is>
      </c>
    </row>
    <row r="27" ht="25" customHeight="1">
      <c r="B27" s="12" t="inlineStr">
        <is>
          <t>Category</t>
        </is>
      </c>
      <c r="C27" s="12" t="inlineStr">
        <is>
          <t>Line Item</t>
        </is>
      </c>
      <c r="D27" s="12" t="inlineStr">
        <is>
          <t>Qty</t>
        </is>
      </c>
      <c r="E27" s="12" t="inlineStr">
        <is>
          <t>Rate</t>
        </is>
      </c>
      <c r="F27" s="12" t="inlineStr">
        <is>
          <t>Subtotal</t>
        </is>
      </c>
      <c r="G27" s="12" t="inlineStr">
        <is>
          <t>Vendor/Notes</t>
        </is>
      </c>
    </row>
    <row r="28" ht="22" customHeight="1">
      <c r="B28" s="13" t="inlineStr">
        <is>
          <t>Development</t>
        </is>
      </c>
      <c r="C28" s="13" t="inlineStr">
        <is>
          <t>Catalog matching engine (course equivalency)</t>
        </is>
      </c>
      <c r="D28" s="25" t="n">
        <v>1</v>
      </c>
      <c r="E28" s="14" t="n">
        <v>35000</v>
      </c>
      <c r="F28" s="14" t="n">
        <v>35000</v>
      </c>
      <c r="G28" s="26" t="inlineStr">
        <is>
          <t>Contractor</t>
        </is>
      </c>
    </row>
    <row r="29" ht="22" customHeight="1">
      <c r="B29" s="16" t="inlineStr">
        <is>
          <t>Development</t>
        </is>
      </c>
      <c r="C29" s="16" t="inlineStr">
        <is>
          <t>Visual confidence bands + approval workflow</t>
        </is>
      </c>
      <c r="D29" s="23" t="n">
        <v>1</v>
      </c>
      <c r="E29" s="17" t="n">
        <v>20000</v>
      </c>
      <c r="F29" s="17" t="n">
        <v>20000</v>
      </c>
      <c r="G29" s="24" t="inlineStr">
        <is>
          <t>Contractor</t>
        </is>
      </c>
    </row>
    <row r="30" ht="22" customHeight="1">
      <c r="B30" s="13" t="inlineStr">
        <is>
          <t>Infrastructure</t>
        </is>
      </c>
      <c r="C30" s="13" t="inlineStr">
        <is>
          <t>Document storage upgrade (transcript scans)</t>
        </is>
      </c>
      <c r="D30" s="25" t="n">
        <v>1</v>
      </c>
      <c r="E30" s="14" t="n">
        <v>5000</v>
      </c>
      <c r="F30" s="14" t="n">
        <v>5000</v>
      </c>
      <c r="G30" s="26" t="inlineStr">
        <is>
          <t>Storage array</t>
        </is>
      </c>
    </row>
    <row r="33" ht="25" customHeight="1">
      <c r="B33" s="7" t="inlineStr">
        <is>
          <t>Phase 4 — Accreditation + Outcome Alignment (Months 13–15)</t>
        </is>
      </c>
    </row>
    <row r="34" ht="25" customHeight="1">
      <c r="B34" s="12" t="inlineStr">
        <is>
          <t>Category</t>
        </is>
      </c>
      <c r="C34" s="12" t="inlineStr">
        <is>
          <t>Line Item</t>
        </is>
      </c>
      <c r="D34" s="12" t="inlineStr">
        <is>
          <t>Qty</t>
        </is>
      </c>
      <c r="E34" s="12" t="inlineStr">
        <is>
          <t>Rate</t>
        </is>
      </c>
      <c r="F34" s="12" t="inlineStr">
        <is>
          <t>Subtotal</t>
        </is>
      </c>
      <c r="G34" s="12" t="inlineStr">
        <is>
          <t>Vendor/Notes</t>
        </is>
      </c>
    </row>
    <row r="35" ht="22" customHeight="1">
      <c r="B35" s="16" t="inlineStr">
        <is>
          <t>Development</t>
        </is>
      </c>
      <c r="C35" s="16" t="inlineStr">
        <is>
          <t>SACSCOC standards mapping engine</t>
        </is>
      </c>
      <c r="D35" s="23" t="n">
        <v>1</v>
      </c>
      <c r="E35" s="17" t="n">
        <v>25000</v>
      </c>
      <c r="F35" s="17" t="n">
        <v>25000</v>
      </c>
      <c r="G35" s="24" t="inlineStr">
        <is>
          <t>Contractor</t>
        </is>
      </c>
    </row>
    <row r="36" ht="22" customHeight="1">
      <c r="B36" s="13" t="inlineStr">
        <is>
          <t>Development</t>
        </is>
      </c>
      <c r="C36" s="13" t="inlineStr">
        <is>
          <t>Readiness Heat Map dashboard</t>
        </is>
      </c>
      <c r="D36" s="25" t="n">
        <v>1</v>
      </c>
      <c r="E36" s="14" t="n">
        <v>20000</v>
      </c>
      <c r="F36" s="14" t="n">
        <v>20000</v>
      </c>
      <c r="G36" s="26" t="inlineStr">
        <is>
          <t>Contractor</t>
        </is>
      </c>
    </row>
    <row r="37" ht="22" customHeight="1">
      <c r="B37" s="16" t="inlineStr">
        <is>
          <t>Development</t>
        </is>
      </c>
      <c r="C37" s="16" t="inlineStr">
        <is>
          <t>CLO ↔ Blackboard assessment drift detector</t>
        </is>
      </c>
      <c r="D37" s="23" t="n">
        <v>1</v>
      </c>
      <c r="E37" s="17" t="n">
        <v>15000</v>
      </c>
      <c r="F37" s="17" t="n">
        <v>15000</v>
      </c>
      <c r="G37" s="24" t="inlineStr">
        <is>
          <t>Contractor</t>
        </is>
      </c>
    </row>
    <row r="38" ht="22" customHeight="1">
      <c r="B38" s="13" t="inlineStr">
        <is>
          <t>Infrastructure</t>
        </is>
      </c>
      <c r="C38" s="13" t="inlineStr">
        <is>
          <t>Document indexing (414 existing files)</t>
        </is>
      </c>
      <c r="D38" s="25" t="n">
        <v>1</v>
      </c>
      <c r="E38" s="14" t="n">
        <v>5000</v>
      </c>
      <c r="F38" s="14" t="n">
        <v>5000</v>
      </c>
      <c r="G38" s="26" t="inlineStr">
        <is>
          <t>Labor only</t>
        </is>
      </c>
    </row>
    <row r="41" ht="25" customHeight="1">
      <c r="B41" s="7" t="inlineStr">
        <is>
          <t>Phase 5 — Grading Load + Allied Health Reporting (Months 16–18)</t>
        </is>
      </c>
    </row>
    <row r="42" ht="25" customHeight="1">
      <c r="B42" s="12" t="inlineStr">
        <is>
          <t>Category</t>
        </is>
      </c>
      <c r="C42" s="12" t="inlineStr">
        <is>
          <t>Line Item</t>
        </is>
      </c>
      <c r="D42" s="12" t="inlineStr">
        <is>
          <t>Qty</t>
        </is>
      </c>
      <c r="E42" s="12" t="inlineStr">
        <is>
          <t>Rate</t>
        </is>
      </c>
      <c r="F42" s="12" t="inlineStr">
        <is>
          <t>Subtotal</t>
        </is>
      </c>
      <c r="G42" s="12" t="inlineStr">
        <is>
          <t>Vendor/Notes</t>
        </is>
      </c>
    </row>
    <row r="43" ht="22" customHeight="1">
      <c r="B43" s="16" t="inlineStr">
        <is>
          <t>Development</t>
        </is>
      </c>
      <c r="C43" s="16" t="inlineStr">
        <is>
          <t>Grading Load Index calculator</t>
        </is>
      </c>
      <c r="D43" s="23" t="n">
        <v>1</v>
      </c>
      <c r="E43" s="17" t="n">
        <v>20000</v>
      </c>
      <c r="F43" s="17" t="n">
        <v>20000</v>
      </c>
      <c r="G43" s="24" t="inlineStr">
        <is>
          <t>Contractor</t>
        </is>
      </c>
    </row>
    <row r="44" ht="22" customHeight="1">
      <c r="B44" s="13" t="inlineStr">
        <is>
          <t>Development</t>
        </is>
      </c>
      <c r="C44" s="13" t="inlineStr">
        <is>
          <t>Allied health programmatic dashboard</t>
        </is>
      </c>
      <c r="D44" s="25" t="n">
        <v>1</v>
      </c>
      <c r="E44" s="14" t="n">
        <v>15000</v>
      </c>
      <c r="F44" s="14" t="n">
        <v>15000</v>
      </c>
      <c r="G44" s="26" t="inlineStr">
        <is>
          <t>Contractor</t>
        </is>
      </c>
    </row>
    <row r="45" ht="22" customHeight="1">
      <c r="B45" s="16" t="inlineStr">
        <is>
          <t>Infrastructure</t>
        </is>
      </c>
      <c r="C45" s="16" t="inlineStr">
        <is>
          <t>Additional reporting compute</t>
        </is>
      </c>
      <c r="D45" s="23" t="n">
        <v>1</v>
      </c>
      <c r="E45" s="17" t="n">
        <v>5000</v>
      </c>
      <c r="F45" s="17" t="n">
        <v>5000</v>
      </c>
      <c r="G45" s="24" t="inlineStr">
        <is>
          <t>Server upgrade</t>
        </is>
      </c>
    </row>
  </sheetData>
  <mergeCells count="7">
    <mergeCell ref="B3:G3"/>
    <mergeCell ref="B2:G2"/>
    <mergeCell ref="B19:G19"/>
    <mergeCell ref="B5:G5"/>
    <mergeCell ref="B41:G41"/>
    <mergeCell ref="B26:G26"/>
    <mergeCell ref="B33:G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8" customWidth="1" min="4" max="4"/>
    <col width="36" customWidth="1" min="5" max="5"/>
    <col width="4" customWidth="1" min="6" max="6"/>
  </cols>
  <sheetData>
    <row r="2" ht="35" customHeight="1">
      <c r="B2" s="10" t="inlineStr">
        <is>
          <t>Annual Recurring Costs</t>
        </is>
      </c>
    </row>
    <row r="3">
      <c r="B3" s="11" t="inlineStr">
        <is>
          <t>Ongoing operational costs starting Year 2 (after implementation)</t>
        </is>
      </c>
    </row>
    <row r="5" ht="28" customHeight="1">
      <c r="B5" s="12" t="inlineStr">
        <is>
          <t>Cost Category</t>
        </is>
      </c>
      <c r="C5" s="12" t="inlineStr">
        <is>
          <t>Year 2</t>
        </is>
      </c>
      <c r="D5" s="12" t="inlineStr">
        <is>
          <t>Year 3–5</t>
        </is>
      </c>
      <c r="E5" s="12" t="inlineStr">
        <is>
          <t>Notes</t>
        </is>
      </c>
    </row>
    <row r="6" ht="22" customHeight="1">
      <c r="B6" s="13" t="inlineStr">
        <is>
          <t>Infrastructure (server, storage, network)</t>
        </is>
      </c>
      <c r="C6" s="14" t="n">
        <v>25000</v>
      </c>
      <c r="D6" s="14" t="n">
        <v>25000</v>
      </c>
      <c r="E6" s="26" t="inlineStr">
        <is>
          <t>On-premise hardware maintenance</t>
        </is>
      </c>
    </row>
    <row r="7" ht="22" customHeight="1">
      <c r="B7" s="16" t="inlineStr">
        <is>
          <t>PostgreSQL maintenance + backups</t>
        </is>
      </c>
      <c r="C7" s="17" t="n">
        <v>8000</v>
      </c>
      <c r="D7" s="17" t="n">
        <v>8000</v>
      </c>
      <c r="E7" s="24" t="inlineStr">
        <is>
          <t>DBA time + backup storage</t>
        </is>
      </c>
    </row>
    <row r="8" ht="22" customHeight="1">
      <c r="B8" s="13" t="inlineStr">
        <is>
          <t>Security patching + monitoring</t>
        </is>
      </c>
      <c r="C8" s="14" t="n">
        <v>6000</v>
      </c>
      <c r="D8" s="14" t="n">
        <v>6000</v>
      </c>
      <c r="E8" s="26" t="inlineStr">
        <is>
          <t>IT security staff time</t>
        </is>
      </c>
    </row>
    <row r="9" ht="22" customHeight="1">
      <c r="B9" s="16" t="inlineStr">
        <is>
          <t>Application support (bug fixes, minor enhancements)</t>
        </is>
      </c>
      <c r="C9" s="17" t="n">
        <v>25000</v>
      </c>
      <c r="D9" s="17" t="n">
        <v>25000</v>
      </c>
      <c r="E9" s="24" t="inlineStr">
        <is>
          <t>Contractor retainer or 0.5 FTE</t>
        </is>
      </c>
    </row>
    <row r="10" ht="22" customHeight="1">
      <c r="B10" s="13" t="inlineStr">
        <is>
          <t>Training &amp; documentation updates</t>
        </is>
      </c>
      <c r="C10" s="14" t="n">
        <v>10000</v>
      </c>
      <c r="D10" s="14" t="n">
        <v>10000</v>
      </c>
      <c r="E10" s="26" t="inlineStr">
        <is>
          <t>Annual faculty/staff training</t>
        </is>
      </c>
    </row>
    <row r="11" ht="22" customHeight="1">
      <c r="B11" s="16" t="inlineStr">
        <is>
          <t>Ellucian Ethos API maintenance</t>
        </is>
      </c>
      <c r="C11" s="17" t="n">
        <v>5000</v>
      </c>
      <c r="D11" s="17" t="n">
        <v>5000</v>
      </c>
      <c r="E11" s="24" t="inlineStr">
        <is>
          <t>Annual license/support</t>
        </is>
      </c>
    </row>
    <row r="12" ht="22" customHeight="1">
      <c r="B12" s="13" t="inlineStr">
        <is>
          <t>Blackboard API maintenance</t>
        </is>
      </c>
      <c r="C12" s="14" t="n">
        <v>3000</v>
      </c>
      <c r="D12" s="14" t="n">
        <v>3000</v>
      </c>
      <c r="E12" s="26" t="inlineStr">
        <is>
          <t>Annual license/support</t>
        </is>
      </c>
    </row>
    <row r="13" ht="22" customHeight="1">
      <c r="B13" s="16" t="inlineStr">
        <is>
          <t>Concourse API maintenance</t>
        </is>
      </c>
      <c r="C13" s="17" t="n">
        <v>2000</v>
      </c>
      <c r="D13" s="17" t="n">
        <v>2000</v>
      </c>
      <c r="E13" s="24" t="inlineStr">
        <is>
          <t>Annual license/support</t>
        </is>
      </c>
    </row>
    <row r="14" ht="25" customHeight="1">
      <c r="B14" s="27" t="inlineStr">
        <is>
          <t>Annual Recurring Total</t>
        </is>
      </c>
      <c r="C14" s="21">
        <f>SUM(C6:C13)</f>
        <v/>
      </c>
      <c r="D14" s="21">
        <f>SUM(D6:D13)</f>
        <v/>
      </c>
      <c r="E14" s="28" t="n"/>
    </row>
    <row r="16" ht="35" customHeight="1">
      <c r="B16" s="6" t="inlineStr">
        <is>
          <t>Note: Year 1 includes all implementation costs plus prorated annual recurring. Total Year 1 = $495,000 (implementation) + $42,000 (prorated recurring) = $537,000.</t>
        </is>
      </c>
    </row>
  </sheetData>
  <mergeCells count="3">
    <mergeCell ref="B3:E3"/>
    <mergeCell ref="B2:E2"/>
    <mergeCell ref="B16:E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4" customWidth="1" min="8" max="8"/>
  </cols>
  <sheetData>
    <row r="2" ht="35" customHeight="1">
      <c r="B2" s="10" t="inlineStr">
        <is>
          <t>Staffing Plan by Phase</t>
        </is>
      </c>
    </row>
    <row r="3">
      <c r="B3" s="11" t="inlineStr">
        <is>
          <t>FTE requirements and role responsibilities</t>
        </is>
      </c>
    </row>
    <row r="5" ht="28" customHeight="1">
      <c r="B5" s="12" t="inlineStr">
        <is>
          <t>Role</t>
        </is>
      </c>
      <c r="C5" s="12" t="inlineStr">
        <is>
          <t>Phase 1</t>
        </is>
      </c>
      <c r="D5" s="12" t="inlineStr">
        <is>
          <t>Phase 2</t>
        </is>
      </c>
      <c r="E5" s="12" t="inlineStr">
        <is>
          <t>Phase 3</t>
        </is>
      </c>
      <c r="F5" s="12" t="inlineStr">
        <is>
          <t>Phase 4</t>
        </is>
      </c>
      <c r="G5" s="12" t="inlineStr">
        <is>
          <t>Phase 5</t>
        </is>
      </c>
      <c r="H5" s="12" t="inlineStr">
        <is>
          <t>Total (FTE-months)</t>
        </is>
      </c>
    </row>
    <row r="6" ht="22" customHeight="1">
      <c r="B6" s="13" t="inlineStr">
        <is>
          <t>Project Manager</t>
        </is>
      </c>
      <c r="C6" s="30" t="n">
        <v>1</v>
      </c>
      <c r="D6" s="30" t="n">
        <v>0.5</v>
      </c>
      <c r="E6" s="30" t="n">
        <v>0.5</v>
      </c>
      <c r="F6" s="30" t="n">
        <v>0.5</v>
      </c>
      <c r="G6" s="30" t="n">
        <v>0.5</v>
      </c>
      <c r="H6" s="30" t="inlineStr">
        <is>
          <t>15</t>
        </is>
      </c>
    </row>
    <row r="7" ht="22" customHeight="1">
      <c r="B7" s="16" t="inlineStr">
        <is>
          <t>Backend Engineer (Node.js/TypeScript)</t>
        </is>
      </c>
      <c r="C7" s="31" t="n">
        <v>1.5</v>
      </c>
      <c r="D7" s="31" t="n">
        <v>0.75</v>
      </c>
      <c r="E7" s="31" t="n">
        <v>0.75</v>
      </c>
      <c r="F7" s="31" t="n">
        <v>0.5</v>
      </c>
      <c r="G7" s="31" t="n">
        <v>0.5</v>
      </c>
      <c r="H7" s="31" t="inlineStr">
        <is>
          <t>24</t>
        </is>
      </c>
    </row>
    <row r="8" ht="22" customHeight="1">
      <c r="B8" s="13" t="inlineStr">
        <is>
          <t>Database Administrator (PostgreSQL)</t>
        </is>
      </c>
      <c r="C8" s="30" t="n">
        <v>0.5</v>
      </c>
      <c r="D8" s="30" t="n">
        <v>0.25</v>
      </c>
      <c r="E8" s="30" t="n">
        <v>0.25</v>
      </c>
      <c r="F8" s="30" t="n">
        <v>0.25</v>
      </c>
      <c r="G8" s="30" t="n">
        <v>0.25</v>
      </c>
      <c r="H8" s="30" t="inlineStr">
        <is>
          <t>7.5</t>
        </is>
      </c>
    </row>
    <row r="9" ht="22" customHeight="1">
      <c r="B9" s="16" t="inlineStr">
        <is>
          <t>Frontend Engineer (React/Vue)</t>
        </is>
      </c>
      <c r="C9" s="31" t="n">
        <v>0.75</v>
      </c>
      <c r="D9" s="31" t="n">
        <v>0.5</v>
      </c>
      <c r="E9" s="31" t="n">
        <v>0.5</v>
      </c>
      <c r="F9" s="31" t="n">
        <v>0.5</v>
      </c>
      <c r="G9" s="31" t="n">
        <v>0.5</v>
      </c>
      <c r="H9" s="31" t="inlineStr">
        <is>
          <t>13.5</t>
        </is>
      </c>
    </row>
    <row r="10" ht="22" customHeight="1">
      <c r="B10" s="13" t="inlineStr">
        <is>
          <t>DevOps / Infrastructure Engineer</t>
        </is>
      </c>
      <c r="C10" s="30" t="n">
        <v>0.5</v>
      </c>
      <c r="D10" s="30" t="n">
        <v>0.25</v>
      </c>
      <c r="E10" s="30" t="n">
        <v>0.25</v>
      </c>
      <c r="F10" s="30" t="n">
        <v>0.25</v>
      </c>
      <c r="G10" s="30" t="n">
        <v>0.25</v>
      </c>
      <c r="H10" s="30" t="inlineStr">
        <is>
          <t>7.5</t>
        </is>
      </c>
    </row>
    <row r="11" ht="22" customHeight="1">
      <c r="B11" s="16" t="inlineStr">
        <is>
          <t>Compliance / Data Governance Officer</t>
        </is>
      </c>
      <c r="C11" s="31" t="n">
        <v>0.25</v>
      </c>
      <c r="D11" s="31" t="n">
        <v>0.25</v>
      </c>
      <c r="E11" s="31" t="n">
        <v>0.25</v>
      </c>
      <c r="F11" s="31" t="n">
        <v>0.5</v>
      </c>
      <c r="G11" s="31" t="n">
        <v>0.5</v>
      </c>
      <c r="H11" s="31" t="inlineStr">
        <is>
          <t>7.5</t>
        </is>
      </c>
    </row>
    <row r="12" ht="22" customHeight="1">
      <c r="B12" s="13" t="inlineStr">
        <is>
          <t>Banner/Ellucian Integration Specialist</t>
        </is>
      </c>
      <c r="C12" s="30" t="n">
        <v>0.5</v>
      </c>
      <c r="D12" s="30" t="n">
        <v>0</v>
      </c>
      <c r="E12" s="30" t="n">
        <v>0</v>
      </c>
      <c r="F12" s="30" t="n">
        <v>0</v>
      </c>
      <c r="G12" s="30" t="n">
        <v>0</v>
      </c>
      <c r="H12" s="30" t="inlineStr">
        <is>
          <t>3</t>
        </is>
      </c>
    </row>
    <row r="13" ht="22" customHeight="1">
      <c r="B13" s="16" t="inlineStr">
        <is>
          <t>Blackboard Integration Specialist</t>
        </is>
      </c>
      <c r="C13" s="31" t="n">
        <v>0.5</v>
      </c>
      <c r="D13" s="31" t="n">
        <v>0</v>
      </c>
      <c r="E13" s="31" t="n">
        <v>0</v>
      </c>
      <c r="F13" s="31" t="n">
        <v>0</v>
      </c>
      <c r="G13" s="31" t="n">
        <v>0</v>
      </c>
      <c r="H13" s="31" t="inlineStr">
        <is>
          <t>3</t>
        </is>
      </c>
    </row>
    <row r="14" ht="22" customHeight="1">
      <c r="B14" s="13" t="inlineStr">
        <is>
          <t>QA / Testing Engineer</t>
        </is>
      </c>
      <c r="C14" s="30" t="n">
        <v>0.5</v>
      </c>
      <c r="D14" s="30" t="n">
        <v>0.25</v>
      </c>
      <c r="E14" s="30" t="n">
        <v>0.25</v>
      </c>
      <c r="F14" s="30" t="n">
        <v>0.25</v>
      </c>
      <c r="G14" s="30" t="n">
        <v>0.25</v>
      </c>
      <c r="H14" s="30" t="inlineStr">
        <is>
          <t>7.5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" customWidth="1" min="8" max="8"/>
  </cols>
  <sheetData>
    <row r="2" ht="35" customHeight="1">
      <c r="B2" s="10" t="inlineStr">
        <is>
          <t>Return on Investment Analysis</t>
        </is>
      </c>
    </row>
    <row r="3">
      <c r="B3" s="11" t="inlineStr">
        <is>
          <t>Conservative value estimates by use case</t>
        </is>
      </c>
    </row>
    <row r="5" ht="28" customHeight="1">
      <c r="B5" s="12" t="inlineStr">
        <is>
          <t>Use Case</t>
        </is>
      </c>
      <c r="C5" s="12" t="inlineStr">
        <is>
          <t>Value Driver</t>
        </is>
      </c>
      <c r="D5" s="12" t="inlineStr">
        <is>
          <t>Year 1</t>
        </is>
      </c>
      <c r="E5" s="12" t="inlineStr">
        <is>
          <t>Year 2</t>
        </is>
      </c>
      <c r="F5" s="12" t="inlineStr">
        <is>
          <t>Year 3</t>
        </is>
      </c>
      <c r="G5" s="12" t="inlineStr">
        <is>
          <t>Year 4</t>
        </is>
      </c>
      <c r="H5" s="12" t="inlineStr">
        <is>
          <t>Year 5</t>
        </is>
      </c>
    </row>
    <row r="6" ht="22" customHeight="1">
      <c r="B6" s="13" t="inlineStr">
        <is>
          <t>UC-01: Predictive Persistence</t>
        </is>
      </c>
      <c r="C6" s="13" t="inlineStr">
        <is>
          <t>Retained tuition (5–10% attrition reduction)</t>
        </is>
      </c>
      <c r="D6" s="14" t="n">
        <v>150000</v>
      </c>
      <c r="E6" s="14" t="n">
        <v>175000</v>
      </c>
      <c r="F6" s="14" t="n">
        <v>200000</v>
      </c>
      <c r="G6" s="14" t="n">
        <v>225000</v>
      </c>
      <c r="H6" s="14" t="n">
        <v>250000</v>
      </c>
    </row>
    <row r="7" ht="22" customHeight="1">
      <c r="B7" s="16" t="inlineStr"/>
      <c r="C7" s="16" t="inlineStr">
        <is>
          <t>Advisory time savings (automated queue)</t>
        </is>
      </c>
      <c r="D7" s="17" t="n">
        <v>20000</v>
      </c>
      <c r="E7" s="17" t="n">
        <v>25000</v>
      </c>
      <c r="F7" s="17" t="n">
        <v>30000</v>
      </c>
      <c r="G7" s="17" t="n">
        <v>35000</v>
      </c>
      <c r="H7" s="17" t="n">
        <v>40000</v>
      </c>
    </row>
    <row r="8" ht="22" customHeight="1">
      <c r="B8" s="13" t="inlineStr">
        <is>
          <t>UC-02: Transcript Evaluation</t>
        </is>
      </c>
      <c r="C8" s="13" t="inlineStr">
        <is>
          <t>Faster yield + staff time savings</t>
        </is>
      </c>
      <c r="D8" s="14" t="n">
        <v>40000</v>
      </c>
      <c r="E8" s="14" t="n">
        <v>50000</v>
      </c>
      <c r="F8" s="14" t="n">
        <v>60000</v>
      </c>
      <c r="G8" s="14" t="n">
        <v>70000</v>
      </c>
      <c r="H8" s="14" t="n">
        <v>80000</v>
      </c>
    </row>
    <row r="9" ht="22" customHeight="1">
      <c r="B9" s="16" t="inlineStr">
        <is>
          <t>UC-03: Accreditation</t>
        </is>
      </c>
      <c r="C9" s="16" t="inlineStr">
        <is>
          <t>Avoided crisis / emergency remediation</t>
        </is>
      </c>
      <c r="D9" s="17" t="n">
        <v>200000</v>
      </c>
      <c r="E9" s="17" t="n">
        <v>50000</v>
      </c>
      <c r="F9" s="17" t="n">
        <v>50000</v>
      </c>
      <c r="G9" s="17" t="n">
        <v>50000</v>
      </c>
      <c r="H9" s="17" t="n">
        <v>50000</v>
      </c>
    </row>
    <row r="10" ht="22" customHeight="1">
      <c r="B10" s="13" t="inlineStr">
        <is>
          <t>UC-04: Outcome Alignment</t>
        </is>
      </c>
      <c r="C10" s="13" t="inlineStr">
        <is>
          <t>SACSCOC compliance assurance</t>
        </is>
      </c>
      <c r="D10" s="14" t="n">
        <v>30000</v>
      </c>
      <c r="E10" s="14" t="n">
        <v>40000</v>
      </c>
      <c r="F10" s="14" t="n">
        <v>50000</v>
      </c>
      <c r="G10" s="14" t="n">
        <v>60000</v>
      </c>
      <c r="H10" s="14" t="n">
        <v>70000</v>
      </c>
    </row>
    <row r="11" ht="22" customHeight="1">
      <c r="B11" s="16" t="inlineStr">
        <is>
          <t>UC-05: Grading Load</t>
        </is>
      </c>
      <c r="C11" s="16" t="inlineStr">
        <is>
          <t>Rational support allocation</t>
        </is>
      </c>
      <c r="D11" s="17" t="n">
        <v>15000</v>
      </c>
      <c r="E11" s="17" t="n">
        <v>20000</v>
      </c>
      <c r="F11" s="17" t="n">
        <v>25000</v>
      </c>
      <c r="G11" s="17" t="n">
        <v>30000</v>
      </c>
      <c r="H11" s="17" t="n">
        <v>35000</v>
      </c>
    </row>
    <row r="12" ht="22" customHeight="1">
      <c r="B12" s="13" t="inlineStr">
        <is>
          <t>UC-06: Allied Health</t>
        </is>
      </c>
      <c r="C12" s="13" t="inlineStr">
        <is>
          <t>NCLEX-RN threshold protection</t>
        </is>
      </c>
      <c r="D12" s="14" t="n">
        <v>500000</v>
      </c>
      <c r="E12" s="14" t="n">
        <v>100000</v>
      </c>
      <c r="F12" s="14" t="n">
        <v>100000</v>
      </c>
      <c r="G12" s="14" t="n">
        <v>100000</v>
      </c>
      <c r="H12" s="14" t="n">
        <v>100000</v>
      </c>
    </row>
    <row r="13" ht="22" customHeight="1">
      <c r="B13" s="16" t="inlineStr">
        <is>
          <t>UC-00: AI Governance</t>
        </is>
      </c>
      <c r="C13" s="16" t="inlineStr">
        <is>
          <t>FERPA violation avoidance</t>
        </is>
      </c>
      <c r="D13" s="17" t="n">
        <v>50000</v>
      </c>
      <c r="E13" s="17" t="n">
        <v>50000</v>
      </c>
      <c r="F13" s="17" t="n">
        <v>50000</v>
      </c>
      <c r="G13" s="17" t="n">
        <v>50000</v>
      </c>
      <c r="H13" s="17" t="n">
        <v>50000</v>
      </c>
    </row>
    <row r="14" ht="28" customHeight="1">
      <c r="B14" s="27" t="inlineStr">
        <is>
          <t>TOTAL ANNUAL VALUE</t>
        </is>
      </c>
      <c r="C14" s="20" t="inlineStr"/>
      <c r="D14" s="21">
        <f>SUM(D6:D13)</f>
        <v/>
      </c>
      <c r="E14" s="21">
        <f>SUM(E6:E13)</f>
        <v/>
      </c>
      <c r="F14" s="21">
        <f>SUM(F6:F13)</f>
        <v/>
      </c>
      <c r="G14" s="21">
        <f>SUM(G6:G13)</f>
        <v/>
      </c>
      <c r="H14" s="21">
        <f>SUM(H6:H13)</f>
        <v/>
      </c>
    </row>
    <row r="16" ht="30" customHeight="1">
      <c r="B16" s="32" t="inlineStr">
        <is>
          <t>5-Year Total Value (conservative): $2,500,000 — $4,000,000 | 5-Year TCO: $760,000 | Net ROI: 3.3x–5.3x</t>
        </is>
      </c>
    </row>
  </sheetData>
  <mergeCells count="3">
    <mergeCell ref="B3:G3"/>
    <mergeCell ref="B2:G2"/>
    <mergeCell ref="B16:G16"/>
  </mergeCells>
  <conditionalFormatting sqref="D6:D13">
    <cfRule type="dataBar" priority="1">
      <dataBar showValue="1">
        <cfvo type="min"/>
        <cfvo type="max"/>
        <color rgb="002E7D32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4" customWidth="1" min="8" max="8"/>
  </cols>
  <sheetData>
    <row r="2" ht="35" customHeight="1">
      <c r="B2" s="10" t="inlineStr">
        <is>
          <t>Implementation Timeline</t>
        </is>
      </c>
    </row>
    <row r="3">
      <c r="B3" s="11" t="inlineStr">
        <is>
          <t>18-month phased roadmap with key milestones</t>
        </is>
      </c>
    </row>
    <row r="5" ht="28" customHeight="1">
      <c r="B5" s="12" t="inlineStr">
        <is>
          <t>Phase</t>
        </is>
      </c>
      <c r="C5" s="12" t="inlineStr">
        <is>
          <t>Timeline</t>
        </is>
      </c>
      <c r="D5" s="12" t="inlineStr">
        <is>
          <t>Deliverable</t>
        </is>
      </c>
      <c r="E5" s="12" t="inlineStr">
        <is>
          <t>Go-Live</t>
        </is>
      </c>
      <c r="F5" s="12" t="inlineStr">
        <is>
          <t>Budget</t>
        </is>
      </c>
      <c r="G5" s="12" t="inlineStr">
        <is>
          <t>Faculty Impact</t>
        </is>
      </c>
    </row>
    <row r="6" ht="25" customHeight="1">
      <c r="B6" s="13" t="inlineStr">
        <is>
          <t>Phase 1</t>
        </is>
      </c>
      <c r="C6" s="13" t="inlineStr">
        <is>
          <t>Months 1–6</t>
        </is>
      </c>
      <c r="D6" s="13" t="inlineStr">
        <is>
          <t>Core engine + AI governance</t>
        </is>
      </c>
      <c r="E6" s="13" t="inlineStr">
        <is>
          <t>Month 6</t>
        </is>
      </c>
      <c r="F6" s="33" t="n">
        <v>265000</v>
      </c>
      <c r="G6" s="13" t="inlineStr">
        <is>
          <t>FERPA compliance enforced; all tools audited</t>
        </is>
      </c>
    </row>
    <row r="7" ht="25" customHeight="1">
      <c r="B7" s="16" t="inlineStr">
        <is>
          <t>Phase 2</t>
        </is>
      </c>
      <c r="C7" s="16" t="inlineStr">
        <is>
          <t>Months 7–9</t>
        </is>
      </c>
      <c r="D7" s="16" t="inlineStr">
        <is>
          <t>Predictive persistence + advisor queue</t>
        </is>
      </c>
      <c r="E7" s="16" t="inlineStr">
        <is>
          <t>Month 9</t>
        </is>
      </c>
      <c r="F7" s="34" t="n">
        <v>80000</v>
      </c>
      <c r="G7" s="16" t="inlineStr">
        <is>
          <t>Early warning alerts for at-risk students</t>
        </is>
      </c>
    </row>
    <row r="8" ht="25" customHeight="1">
      <c r="B8" s="13" t="inlineStr">
        <is>
          <t>Phase 3</t>
        </is>
      </c>
      <c r="C8" s="13" t="inlineStr">
        <is>
          <t>Months 10–12</t>
        </is>
      </c>
      <c r="D8" s="13" t="inlineStr">
        <is>
          <t>Transcript evaluation workflow</t>
        </is>
      </c>
      <c r="E8" s="13" t="inlineStr">
        <is>
          <t>Month 12</t>
        </is>
      </c>
      <c r="F8" s="33" t="n">
        <v>60000</v>
      </c>
      <c r="G8" s="13" t="inlineStr">
        <is>
          <t>2-day transcript turnaround</t>
        </is>
      </c>
    </row>
    <row r="9" ht="25" customHeight="1">
      <c r="B9" s="16" t="inlineStr">
        <is>
          <t>Phase 4</t>
        </is>
      </c>
      <c r="C9" s="16" t="inlineStr">
        <is>
          <t>Months 13–15</t>
        </is>
      </c>
      <c r="D9" s="16" t="inlineStr">
        <is>
          <t>Accreditation heat map + drift detection</t>
        </is>
      </c>
      <c r="E9" s="16" t="inlineStr">
        <is>
          <t>Month 15</t>
        </is>
      </c>
      <c r="F9" s="34" t="n">
        <v>50000</v>
      </c>
      <c r="G9" s="16" t="inlineStr">
        <is>
          <t>Continuous SACSCOC readiness</t>
        </is>
      </c>
    </row>
    <row r="10" ht="25" customHeight="1">
      <c r="B10" s="13" t="inlineStr">
        <is>
          <t>Phase 5</t>
        </is>
      </c>
      <c r="C10" s="13" t="inlineStr">
        <is>
          <t>Months 16–18</t>
        </is>
      </c>
      <c r="D10" s="13" t="inlineStr">
        <is>
          <t>Grading load + allied health dashboard</t>
        </is>
      </c>
      <c r="E10" s="13" t="inlineStr">
        <is>
          <t>Month 18</t>
        </is>
      </c>
      <c r="F10" s="33" t="n">
        <v>40000</v>
      </c>
      <c r="G10" s="13" t="inlineStr">
        <is>
          <t>Programmatic compliance tracking</t>
        </is>
      </c>
    </row>
    <row r="13" ht="40" customHeight="1">
      <c r="B13" s="6" t="inlineStr">
        <is>
          <t>Key Milestones: Month 3 = Banner/Blackboard integration complete | Month 6 = Gate 530 live | Month 9 = First advisor intervention queue | Month 12 = Transcript eval live | Month 15 = SACSCOC readiness dashboard | Month 18 = Full platform operational</t>
        </is>
      </c>
    </row>
  </sheetData>
  <mergeCells count="3">
    <mergeCell ref="B3:G3"/>
    <mergeCell ref="B2:G2"/>
    <mergeCell ref="B13:G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2026-06-21T11:55:53Z</dcterms:created>
  <dcterms:modified xmlns:dcterms="http://purl.org/dc/terms/" xmlns:xsi="http://www.w3.org/2001/XMLSchema-instance" xsi:type="dcterms:W3CDTF">2026-06-21T11:55:53Z</dcterms:modified>
</cp:coreProperties>
</file>